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sanj\Desktop\project\Future interns\"/>
    </mc:Choice>
  </mc:AlternateContent>
  <xr:revisionPtr revIDLastSave="0" documentId="13_ncr:1_{6CA3F600-097E-4168-99A0-B712D2A12A30}" xr6:coauthVersionLast="47" xr6:coauthVersionMax="47" xr10:uidLastSave="{00000000-0000-0000-0000-000000000000}"/>
  <bookViews>
    <workbookView xWindow="-108" yWindow="-108" windowWidth="23256" windowHeight="12456" activeTab="4" xr2:uid="{10DAEEFA-5F4F-4F58-8B23-3B8023F75A0C}"/>
  </bookViews>
  <sheets>
    <sheet name="Data sheet" sheetId="1" r:id="rId1"/>
    <sheet name="Channel Analysis" sheetId="2" r:id="rId2"/>
    <sheet name="Monthly Analysis" sheetId="3" r:id="rId3"/>
    <sheet name="Funnel Summary" sheetId="4" r:id="rId4"/>
    <sheet name="Dashboard" sheetId="5" r:id="rId5"/>
  </sheets>
  <definedNames>
    <definedName name="_xlchart.v2.0" hidden="1">'Funnel Summary'!$A$2:$A$4</definedName>
    <definedName name="_xlchart.v2.1" hidden="1">'Funnel Summary'!$B$2:$B$4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I3" i="1"/>
  <c r="I4" i="1"/>
  <c r="I5" i="1"/>
  <c r="I6" i="1"/>
  <c r="I7" i="1"/>
  <c r="I8" i="1"/>
  <c r="I9" i="1"/>
  <c r="I10" i="1"/>
  <c r="I11" i="1"/>
  <c r="I12" i="1"/>
  <c r="I13" i="1"/>
  <c r="J2" i="1"/>
  <c r="I2" i="1"/>
  <c r="H3" i="1"/>
  <c r="H4" i="1"/>
  <c r="H5" i="1"/>
  <c r="H6" i="1"/>
  <c r="H7" i="1"/>
  <c r="H8" i="1"/>
  <c r="H9" i="1"/>
  <c r="H10" i="1"/>
  <c r="H11" i="1"/>
  <c r="H12" i="1"/>
  <c r="H13" i="1"/>
  <c r="G3" i="1"/>
  <c r="G4" i="1"/>
  <c r="G5" i="1"/>
  <c r="G6" i="1"/>
  <c r="G7" i="1"/>
  <c r="G8" i="1"/>
  <c r="G9" i="1"/>
  <c r="G10" i="1"/>
  <c r="G11" i="1"/>
  <c r="G12" i="1"/>
  <c r="G13" i="1"/>
  <c r="F3" i="1"/>
  <c r="F4" i="1"/>
  <c r="F5" i="1"/>
  <c r="F6" i="1"/>
  <c r="F7" i="1"/>
  <c r="F8" i="1"/>
  <c r="F9" i="1"/>
  <c r="F10" i="1"/>
  <c r="F11" i="1"/>
  <c r="F12" i="1"/>
  <c r="F13" i="1"/>
  <c r="H2" i="1"/>
  <c r="G2" i="1"/>
  <c r="F2" i="1"/>
</calcChain>
</file>

<file path=xl/sharedStrings.xml><?xml version="1.0" encoding="utf-8"?>
<sst xmlns="http://schemas.openxmlformats.org/spreadsheetml/2006/main" count="80" uniqueCount="43">
  <si>
    <t>Date</t>
  </si>
  <si>
    <t>Channel</t>
  </si>
  <si>
    <t>Visitors</t>
  </si>
  <si>
    <t>Leads</t>
  </si>
  <si>
    <t>Customers</t>
  </si>
  <si>
    <t>Jan</t>
  </si>
  <si>
    <t>Feb</t>
  </si>
  <si>
    <t>Mar</t>
  </si>
  <si>
    <t>Apr</t>
  </si>
  <si>
    <t>Google Ads</t>
  </si>
  <si>
    <t>Instagram</t>
  </si>
  <si>
    <t>Facebook</t>
  </si>
  <si>
    <t>Traffic-to-Lead Conversion</t>
  </si>
  <si>
    <t>Lead-to-Customer Conversion</t>
  </si>
  <si>
    <t>Traffic-to-Customer Conversion</t>
  </si>
  <si>
    <t>Visitors-to-Lead Drop-off</t>
  </si>
  <si>
    <t>Lead-to-Customer Drop-off</t>
  </si>
  <si>
    <t>Total Visitors</t>
  </si>
  <si>
    <t>Total Leads</t>
  </si>
  <si>
    <t xml:space="preserve">Total Customers </t>
  </si>
  <si>
    <t>Lead-to-Customer%</t>
  </si>
  <si>
    <t>Month</t>
  </si>
  <si>
    <t>Total Customers</t>
  </si>
  <si>
    <t>Funnel Stage</t>
  </si>
  <si>
    <t>Total Users</t>
  </si>
  <si>
    <t>Metric</t>
  </si>
  <si>
    <t>Value</t>
  </si>
  <si>
    <t>Visitor-to-Lead Drop-off</t>
  </si>
  <si>
    <t>Marketing Funnel and Conversion Performance Analysis</t>
  </si>
  <si>
    <t>Traffic-to-Lead</t>
  </si>
  <si>
    <t>Lead-to-Customer</t>
  </si>
  <si>
    <t>KEY INSIGHTS AND RECOMMENDATIONS</t>
  </si>
  <si>
    <t>KEY INSIGHTS</t>
  </si>
  <si>
    <t xml:space="preserve">1. Google ads generated the Highest number of Visitors Leads and customers among the three channels . </t>
  </si>
  <si>
    <t>2. Overall, 12.84% of visitors became Leads .</t>
  </si>
  <si>
    <t>3. 24.80% of leads converted into customers .</t>
  </si>
  <si>
    <t xml:space="preserve">4. The largest Fun Drop off occurs Between visitors and Leads </t>
  </si>
  <si>
    <t xml:space="preserve">5. March recorded the highest number of customers with 111 customers </t>
  </si>
  <si>
    <t>RECOMMENDATIONS</t>
  </si>
  <si>
    <t xml:space="preserve">1. Improve landing pages and call to action messages To increase visitor to lead conversion </t>
  </si>
  <si>
    <t xml:space="preserve">2. Analyse the successful Google ads Campaigns and apply useful practises to other channels </t>
  </si>
  <si>
    <t xml:space="preserve">3. Follow up with leads more effectively To improve lead to customer Conversion </t>
  </si>
  <si>
    <t xml:space="preserve">4. Monitor monthly Funnel performance regularly and optimise Campaigns based on Conversion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</si>
</sst>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8"/>
      <color theme="1"/>
      <name val="Calibri"/>
      <family val="2"/>
    </font>
    <font>
      <sz val="16"/>
      <color theme="1"/>
      <name val="Calibri"/>
      <family val="2"/>
    </font>
    <font>
      <b/>
      <sz val="14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10" fontId="5" fillId="0" borderId="0" xfId="0" applyNumberFormat="1" applyFont="1"/>
    <xf numFmtId="9" fontId="3" fillId="0" borderId="0" xfId="1" applyFont="1"/>
    <xf numFmtId="10" fontId="3" fillId="0" borderId="0" xfId="0" applyNumberFormat="1" applyFont="1"/>
    <xf numFmtId="0" fontId="9" fillId="0" borderId="0" xfId="0" applyFont="1"/>
    <xf numFmtId="0" fontId="7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8" fillId="0" borderId="1" xfId="0" applyFont="1" applyBorder="1"/>
    <xf numFmtId="0" fontId="8" fillId="0" borderId="2" xfId="0" applyFont="1" applyBorder="1"/>
    <xf numFmtId="0" fontId="8" fillId="0" borderId="3" xfId="0" applyFont="1" applyBorder="1"/>
    <xf numFmtId="0" fontId="8" fillId="0" borderId="4" xfId="0" applyFont="1" applyBorder="1"/>
    <xf numFmtId="10" fontId="8" fillId="0" borderId="4" xfId="0" applyNumberFormat="1" applyFont="1" applyBorder="1"/>
    <xf numFmtId="0" fontId="8" fillId="0" borderId="5" xfId="0" applyFont="1" applyBorder="1"/>
    <xf numFmtId="10" fontId="8" fillId="0" borderId="6" xfId="0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Customers by Marketing Channel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0702504779495162E-2"/>
          <c:y val="0.17171296296296298"/>
          <c:w val="0.89843329768964064"/>
          <c:h val="0.7212580198308544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'Channel Analysis'!$D$1</c:f>
              <c:strCache>
                <c:ptCount val="1"/>
                <c:pt idx="0">
                  <c:v>Total Customers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'Channel Analysis'!$A$2:$A$4</c:f>
              <c:strCache>
                <c:ptCount val="3"/>
                <c:pt idx="0">
                  <c:v>Google Ads</c:v>
                </c:pt>
                <c:pt idx="1">
                  <c:v>Instagram</c:v>
                </c:pt>
                <c:pt idx="2">
                  <c:v>Facebook</c:v>
                </c:pt>
              </c:strCache>
            </c:strRef>
          </c:cat>
          <c:val>
            <c:numRef>
              <c:f>'Channel Analysis'!$D$2:$D$4</c:f>
              <c:numCache>
                <c:formatCode>General</c:formatCode>
                <c:ptCount val="3"/>
                <c:pt idx="0">
                  <c:v>175</c:v>
                </c:pt>
                <c:pt idx="1">
                  <c:v>115</c:v>
                </c:pt>
                <c:pt idx="2">
                  <c:v>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A4-44CD-A146-5A35EE922C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5582767"/>
        <c:axId val="1502232079"/>
      </c:barChart>
      <c:catAx>
        <c:axId val="1555582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2232079"/>
        <c:crosses val="autoZero"/>
        <c:auto val="1"/>
        <c:lblAlgn val="ctr"/>
        <c:lblOffset val="100"/>
        <c:noMultiLvlLbl val="0"/>
      </c:catAx>
      <c:valAx>
        <c:axId val="1502232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5582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</a:t>
            </a:r>
            <a:r>
              <a:rPr lang="en-IN" baseline="0"/>
              <a:t> Funnel Performance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'Monthly Analysis'!$B$1</c:f>
              <c:strCache>
                <c:ptCount val="1"/>
                <c:pt idx="0">
                  <c:v>Total Visitors</c:v>
                </c:pt>
              </c:strCache>
            </c:strRef>
          </c:tx>
          <c:spPr>
            <a:ln w="28575" cap="rnd">
              <a:solidFill>
                <a:schemeClr val="accent1">
                  <a:shade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'Monthly Analysis'!$A$2:$A$5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</c:strCache>
            </c:strRef>
          </c:cat>
          <c:val>
            <c:numRef>
              <c:f>'Monthly Analysis'!$B$2:$B$5</c:f>
              <c:numCache>
                <c:formatCode>General</c:formatCode>
                <c:ptCount val="4"/>
                <c:pt idx="0">
                  <c:v>2500</c:v>
                </c:pt>
                <c:pt idx="1">
                  <c:v>2850</c:v>
                </c:pt>
                <c:pt idx="2">
                  <c:v>3250</c:v>
                </c:pt>
                <c:pt idx="3">
                  <c:v>3300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98-4AFD-A8A7-240808F1E316}"/>
            </c:ext>
          </c:extLst>
        </c:ser>
        <c:ser>
          <c:idx val="1"/>
          <c:order val="1"/>
          <c:tx>
            <c:strRef>
              <c:f>'Monthly Analysis'!$C$1</c:f>
              <c:strCache>
                <c:ptCount val="1"/>
                <c:pt idx="0">
                  <c:v>Total Leads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'Monthly Analysis'!$A$2:$A$5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</c:strCache>
            </c:strRef>
          </c:cat>
          <c:val>
            <c:numRef>
              <c:f>'Monthly Analysis'!$C$2:$C$5</c:f>
              <c:numCache>
                <c:formatCode>General</c:formatCode>
                <c:ptCount val="4"/>
                <c:pt idx="0">
                  <c:v>304</c:v>
                </c:pt>
                <c:pt idx="1">
                  <c:v>366</c:v>
                </c:pt>
                <c:pt idx="2">
                  <c:v>438</c:v>
                </c:pt>
                <c:pt idx="3">
                  <c:v>420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298-4AFD-A8A7-240808F1E316}"/>
            </c:ext>
          </c:extLst>
        </c:ser>
        <c:ser>
          <c:idx val="2"/>
          <c:order val="2"/>
          <c:tx>
            <c:strRef>
              <c:f>'Monthly Analysis'!$D$1</c:f>
              <c:strCache>
                <c:ptCount val="1"/>
                <c:pt idx="0">
                  <c:v>Total Customers</c:v>
                </c:pt>
              </c:strCache>
            </c:strRef>
          </c:tx>
          <c:spPr>
            <a:ln w="28575" cap="rnd">
              <a:solidFill>
                <a:schemeClr val="accent1">
                  <a:tint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'Monthly Analysis'!$A$2:$A$5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</c:strCache>
            </c:strRef>
          </c:cat>
          <c:val>
            <c:numRef>
              <c:f>'Monthly Analysis'!$D$2:$D$5</c:f>
              <c:numCache>
                <c:formatCode>General</c:formatCode>
                <c:ptCount val="4"/>
                <c:pt idx="0">
                  <c:v>68</c:v>
                </c:pt>
                <c:pt idx="1">
                  <c:v>90</c:v>
                </c:pt>
                <c:pt idx="2">
                  <c:v>111</c:v>
                </c:pt>
                <c:pt idx="3">
                  <c:v>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298-4AFD-A8A7-240808F1E3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22628655"/>
        <c:axId val="1502239759"/>
      </c:lineChart>
      <c:catAx>
        <c:axId val="2022628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2239759"/>
        <c:crosses val="autoZero"/>
        <c:auto val="1"/>
        <c:lblAlgn val="ctr"/>
        <c:lblOffset val="100"/>
        <c:noMultiLvlLbl val="0"/>
      </c:catAx>
      <c:valAx>
        <c:axId val="1502239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2628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_xlchart.v2.1</cx:f>
      </cx:numDim>
    </cx:data>
  </cx:chartData>
  <cx:chart>
    <cx:title pos="t" align="ctr" overlay="0">
      <cx:tx>
        <cx:txData>
          <cx:v>Marketing Funnel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Marketing Funnel</a:t>
          </a:r>
        </a:p>
      </cx:txPr>
      <cx:extLst>
        <cx:ext uri="ext:featex">
          <cx:featureExtension feature="mp" drop="onModelChange">
            <cx:offset top="0.0083333337679505348" left="0.01666666753590107"/>
          </cx:featureExtension>
        </cx:ext>
      </cx:extLst>
    </cx:title>
    <cx:plotArea>
      <cx:plotAreaRegion>
        <cx:series layoutId="funnel" uniqueId="{00000000-908F-40A8-A823-E35966ED6732}">
          <cx:dataLabels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68580</xdr:colOff>
      <xdr:row>7</xdr:row>
      <xdr:rowOff>3810</xdr:rowOff>
    </xdr:from>
    <xdr:to>
      <xdr:col>5</xdr:col>
      <xdr:colOff>457200</xdr:colOff>
      <xdr:row>22</xdr:row>
      <xdr:rowOff>45720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EF8EF4BA-F5C9-E1D6-4CA6-C07211CF6F4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8580" y="1817370"/>
              <a:ext cx="4579620" cy="27851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5</xdr:col>
      <xdr:colOff>594360</xdr:colOff>
      <xdr:row>7</xdr:row>
      <xdr:rowOff>11430</xdr:rowOff>
    </xdr:from>
    <xdr:to>
      <xdr:col>11</xdr:col>
      <xdr:colOff>243840</xdr:colOff>
      <xdr:row>22</xdr:row>
      <xdr:rowOff>11430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85973233-7419-8855-B127-F80202EFC0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297180</xdr:colOff>
      <xdr:row>7</xdr:row>
      <xdr:rowOff>7620</xdr:rowOff>
    </xdr:from>
    <xdr:to>
      <xdr:col>19</xdr:col>
      <xdr:colOff>0</xdr:colOff>
      <xdr:row>22</xdr:row>
      <xdr:rowOff>7620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910BBC74-36F5-C9DA-84C2-F956E95DB2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13E21-6E80-4E99-A4EC-0411590AF0E2}">
  <dimension ref="A1:J13"/>
  <sheetViews>
    <sheetView workbookViewId="0">
      <selection activeCell="C19" sqref="C19"/>
    </sheetView>
  </sheetViews>
  <sheetFormatPr defaultRowHeight="14.4" x14ac:dyDescent="0.3"/>
  <cols>
    <col min="1" max="1" width="11.33203125" customWidth="1"/>
    <col min="2" max="2" width="10.88671875" customWidth="1"/>
    <col min="3" max="3" width="9.88671875" customWidth="1"/>
    <col min="4" max="4" width="9.33203125" customWidth="1"/>
    <col min="5" max="5" width="11.33203125" customWidth="1"/>
    <col min="6" max="6" width="25.88671875" bestFit="1" customWidth="1"/>
    <col min="7" max="7" width="28.5546875" customWidth="1"/>
    <col min="8" max="8" width="30.6640625" customWidth="1"/>
    <col min="9" max="9" width="26" customWidth="1"/>
    <col min="10" max="10" width="26.21875" bestFit="1" customWidth="1"/>
  </cols>
  <sheetData>
    <row r="1" spans="1:10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</row>
    <row r="2" spans="1:10" x14ac:dyDescent="0.3">
      <c r="A2" t="s">
        <v>5</v>
      </c>
      <c r="B2" t="s">
        <v>9</v>
      </c>
      <c r="C2">
        <v>1000</v>
      </c>
      <c r="D2">
        <v>120</v>
      </c>
      <c r="E2">
        <v>30</v>
      </c>
      <c r="F2">
        <f>D2/C2</f>
        <v>0.12</v>
      </c>
      <c r="G2">
        <f>E2/D2</f>
        <v>0.25</v>
      </c>
      <c r="H2">
        <f>E2/C2</f>
        <v>0.03</v>
      </c>
      <c r="I2">
        <f>C2-D2</f>
        <v>880</v>
      </c>
      <c r="J2">
        <f>D2-E2</f>
        <v>90</v>
      </c>
    </row>
    <row r="3" spans="1:10" x14ac:dyDescent="0.3">
      <c r="A3" t="s">
        <v>5</v>
      </c>
      <c r="B3" t="s">
        <v>10</v>
      </c>
      <c r="C3">
        <v>800</v>
      </c>
      <c r="D3">
        <v>100</v>
      </c>
      <c r="E3">
        <v>20</v>
      </c>
      <c r="F3">
        <f t="shared" ref="F3:F13" si="0">D3/C3</f>
        <v>0.125</v>
      </c>
      <c r="G3">
        <f t="shared" ref="G3:G13" si="1">E3/D3</f>
        <v>0.2</v>
      </c>
      <c r="H3">
        <f t="shared" ref="H3:H13" si="2">E3/C3</f>
        <v>2.5000000000000001E-2</v>
      </c>
      <c r="I3">
        <f t="shared" ref="I3:I13" si="3">C3-D3</f>
        <v>700</v>
      </c>
      <c r="J3">
        <f t="shared" ref="J3:J13" si="4">D3-E3</f>
        <v>80</v>
      </c>
    </row>
    <row r="4" spans="1:10" x14ac:dyDescent="0.3">
      <c r="A4" t="s">
        <v>5</v>
      </c>
      <c r="B4" t="s">
        <v>11</v>
      </c>
      <c r="C4">
        <v>700</v>
      </c>
      <c r="D4">
        <v>84</v>
      </c>
      <c r="E4">
        <v>18</v>
      </c>
      <c r="F4">
        <f t="shared" si="0"/>
        <v>0.12</v>
      </c>
      <c r="G4">
        <f t="shared" si="1"/>
        <v>0.21428571428571427</v>
      </c>
      <c r="H4">
        <f t="shared" si="2"/>
        <v>2.5714285714285714E-2</v>
      </c>
      <c r="I4">
        <f t="shared" si="3"/>
        <v>616</v>
      </c>
      <c r="J4">
        <f t="shared" si="4"/>
        <v>66</v>
      </c>
    </row>
    <row r="5" spans="1:10" x14ac:dyDescent="0.3">
      <c r="A5" t="s">
        <v>6</v>
      </c>
      <c r="B5" t="s">
        <v>9</v>
      </c>
      <c r="C5">
        <v>1200</v>
      </c>
      <c r="D5">
        <v>150</v>
      </c>
      <c r="E5">
        <v>42</v>
      </c>
      <c r="F5">
        <f t="shared" si="0"/>
        <v>0.125</v>
      </c>
      <c r="G5">
        <f t="shared" si="1"/>
        <v>0.28000000000000003</v>
      </c>
      <c r="H5">
        <f t="shared" si="2"/>
        <v>3.5000000000000003E-2</v>
      </c>
      <c r="I5">
        <f t="shared" si="3"/>
        <v>1050</v>
      </c>
      <c r="J5">
        <f t="shared" si="4"/>
        <v>108</v>
      </c>
    </row>
    <row r="6" spans="1:10" x14ac:dyDescent="0.3">
      <c r="A6" t="s">
        <v>6</v>
      </c>
      <c r="B6" t="s">
        <v>10</v>
      </c>
      <c r="C6">
        <v>900</v>
      </c>
      <c r="D6">
        <v>126</v>
      </c>
      <c r="E6">
        <v>28</v>
      </c>
      <c r="F6">
        <f t="shared" si="0"/>
        <v>0.14000000000000001</v>
      </c>
      <c r="G6">
        <f t="shared" si="1"/>
        <v>0.22222222222222221</v>
      </c>
      <c r="H6">
        <f t="shared" si="2"/>
        <v>3.111111111111111E-2</v>
      </c>
      <c r="I6">
        <f t="shared" si="3"/>
        <v>774</v>
      </c>
      <c r="J6">
        <f t="shared" si="4"/>
        <v>98</v>
      </c>
    </row>
    <row r="7" spans="1:10" x14ac:dyDescent="0.3">
      <c r="A7" t="s">
        <v>6</v>
      </c>
      <c r="B7" t="s">
        <v>11</v>
      </c>
      <c r="C7">
        <v>750</v>
      </c>
      <c r="D7">
        <v>90</v>
      </c>
      <c r="E7">
        <v>20</v>
      </c>
      <c r="F7">
        <f t="shared" si="0"/>
        <v>0.12</v>
      </c>
      <c r="G7">
        <f t="shared" si="1"/>
        <v>0.22222222222222221</v>
      </c>
      <c r="H7">
        <f t="shared" si="2"/>
        <v>2.6666666666666668E-2</v>
      </c>
      <c r="I7">
        <f t="shared" si="3"/>
        <v>660</v>
      </c>
      <c r="J7">
        <f t="shared" si="4"/>
        <v>70</v>
      </c>
    </row>
    <row r="8" spans="1:10" x14ac:dyDescent="0.3">
      <c r="A8" t="s">
        <v>7</v>
      </c>
      <c r="B8" t="s">
        <v>9</v>
      </c>
      <c r="C8">
        <v>1400</v>
      </c>
      <c r="D8">
        <v>196</v>
      </c>
      <c r="E8">
        <v>55</v>
      </c>
      <c r="F8">
        <f t="shared" si="0"/>
        <v>0.14000000000000001</v>
      </c>
      <c r="G8">
        <f t="shared" si="1"/>
        <v>0.28061224489795916</v>
      </c>
      <c r="H8">
        <f t="shared" si="2"/>
        <v>3.9285714285714285E-2</v>
      </c>
      <c r="I8">
        <f t="shared" si="3"/>
        <v>1204</v>
      </c>
      <c r="J8">
        <f t="shared" si="4"/>
        <v>141</v>
      </c>
    </row>
    <row r="9" spans="1:10" x14ac:dyDescent="0.3">
      <c r="A9" t="s">
        <v>7</v>
      </c>
      <c r="B9" t="s">
        <v>10</v>
      </c>
      <c r="C9">
        <v>1000</v>
      </c>
      <c r="D9">
        <v>140</v>
      </c>
      <c r="E9">
        <v>32</v>
      </c>
      <c r="F9">
        <f t="shared" si="0"/>
        <v>0.14000000000000001</v>
      </c>
      <c r="G9">
        <f t="shared" si="1"/>
        <v>0.22857142857142856</v>
      </c>
      <c r="H9">
        <f t="shared" si="2"/>
        <v>3.2000000000000001E-2</v>
      </c>
      <c r="I9">
        <f t="shared" si="3"/>
        <v>860</v>
      </c>
      <c r="J9">
        <f t="shared" si="4"/>
        <v>108</v>
      </c>
    </row>
    <row r="10" spans="1:10" x14ac:dyDescent="0.3">
      <c r="A10" t="s">
        <v>7</v>
      </c>
      <c r="B10" t="s">
        <v>11</v>
      </c>
      <c r="C10">
        <v>850</v>
      </c>
      <c r="D10">
        <v>102</v>
      </c>
      <c r="E10">
        <v>24</v>
      </c>
      <c r="F10">
        <f t="shared" si="0"/>
        <v>0.12</v>
      </c>
      <c r="G10">
        <f t="shared" si="1"/>
        <v>0.23529411764705882</v>
      </c>
      <c r="H10">
        <f t="shared" si="2"/>
        <v>2.823529411764706E-2</v>
      </c>
      <c r="I10">
        <f t="shared" si="3"/>
        <v>748</v>
      </c>
      <c r="J10">
        <f t="shared" si="4"/>
        <v>78</v>
      </c>
    </row>
    <row r="11" spans="1:10" x14ac:dyDescent="0.3">
      <c r="A11" t="s">
        <v>8</v>
      </c>
      <c r="B11" t="s">
        <v>9</v>
      </c>
      <c r="C11">
        <v>1300</v>
      </c>
      <c r="D11">
        <v>169</v>
      </c>
      <c r="E11">
        <v>48</v>
      </c>
      <c r="F11">
        <f t="shared" si="0"/>
        <v>0.13</v>
      </c>
      <c r="G11">
        <f t="shared" si="1"/>
        <v>0.28402366863905326</v>
      </c>
      <c r="H11">
        <f t="shared" si="2"/>
        <v>3.6923076923076927E-2</v>
      </c>
      <c r="I11">
        <f t="shared" si="3"/>
        <v>1131</v>
      </c>
      <c r="J11">
        <f t="shared" si="4"/>
        <v>121</v>
      </c>
    </row>
    <row r="12" spans="1:10" x14ac:dyDescent="0.3">
      <c r="A12" t="s">
        <v>8</v>
      </c>
      <c r="B12" t="s">
        <v>10</v>
      </c>
      <c r="C12">
        <v>1100</v>
      </c>
      <c r="D12">
        <v>143</v>
      </c>
      <c r="E12">
        <v>35</v>
      </c>
      <c r="F12">
        <f t="shared" si="0"/>
        <v>0.13</v>
      </c>
      <c r="G12">
        <f t="shared" si="1"/>
        <v>0.24475524475524477</v>
      </c>
      <c r="H12">
        <f t="shared" si="2"/>
        <v>3.1818181818181815E-2</v>
      </c>
      <c r="I12">
        <f t="shared" si="3"/>
        <v>957</v>
      </c>
      <c r="J12">
        <f t="shared" si="4"/>
        <v>108</v>
      </c>
    </row>
    <row r="13" spans="1:10" x14ac:dyDescent="0.3">
      <c r="A13" t="s">
        <v>8</v>
      </c>
      <c r="B13" t="s">
        <v>11</v>
      </c>
      <c r="C13">
        <v>900</v>
      </c>
      <c r="D13">
        <v>108</v>
      </c>
      <c r="E13">
        <v>27</v>
      </c>
      <c r="F13">
        <f t="shared" si="0"/>
        <v>0.12</v>
      </c>
      <c r="G13">
        <f t="shared" si="1"/>
        <v>0.25</v>
      </c>
      <c r="H13">
        <f t="shared" si="2"/>
        <v>0.03</v>
      </c>
      <c r="I13">
        <f t="shared" si="3"/>
        <v>792</v>
      </c>
      <c r="J13">
        <f t="shared" si="4"/>
        <v>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063AF-FE6A-4AC4-A693-2A001A6594FD}">
  <dimension ref="A1:E4"/>
  <sheetViews>
    <sheetView workbookViewId="0">
      <selection activeCell="J7" sqref="J7"/>
    </sheetView>
  </sheetViews>
  <sheetFormatPr defaultRowHeight="14.4" x14ac:dyDescent="0.3"/>
  <cols>
    <col min="1" max="1" width="16.5546875" customWidth="1"/>
    <col min="2" max="2" width="22.109375" customWidth="1"/>
    <col min="3" max="3" width="17" customWidth="1"/>
    <col min="4" max="4" width="21.33203125" customWidth="1"/>
    <col min="5" max="5" width="28.109375" customWidth="1"/>
  </cols>
  <sheetData>
    <row r="1" spans="1:5" ht="21" x14ac:dyDescent="0.4">
      <c r="A1" s="5" t="s">
        <v>1</v>
      </c>
      <c r="B1" s="5" t="s">
        <v>17</v>
      </c>
      <c r="C1" s="5" t="s">
        <v>18</v>
      </c>
      <c r="D1" s="5" t="s">
        <v>19</v>
      </c>
      <c r="E1" s="5" t="s">
        <v>20</v>
      </c>
    </row>
    <row r="2" spans="1:5" ht="21" x14ac:dyDescent="0.4">
      <c r="A2" s="4" t="s">
        <v>9</v>
      </c>
      <c r="B2" s="4">
        <v>4900</v>
      </c>
      <c r="C2" s="4">
        <v>635</v>
      </c>
      <c r="D2" s="4">
        <v>175</v>
      </c>
      <c r="E2" s="6">
        <v>0.27560000000000001</v>
      </c>
    </row>
    <row r="3" spans="1:5" ht="21" x14ac:dyDescent="0.4">
      <c r="A3" s="4" t="s">
        <v>10</v>
      </c>
      <c r="B3" s="4">
        <v>3800</v>
      </c>
      <c r="C3" s="4">
        <v>509</v>
      </c>
      <c r="D3" s="4">
        <v>115</v>
      </c>
      <c r="E3" s="6">
        <v>0.22589999999999999</v>
      </c>
    </row>
    <row r="4" spans="1:5" ht="21" x14ac:dyDescent="0.4">
      <c r="A4" s="4" t="s">
        <v>11</v>
      </c>
      <c r="B4" s="4">
        <v>3200</v>
      </c>
      <c r="C4" s="4">
        <v>384</v>
      </c>
      <c r="D4" s="4">
        <v>89</v>
      </c>
      <c r="E4" s="6">
        <v>0.23180000000000001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7C658-3244-4D84-9926-1AAA4855DA6A}">
  <dimension ref="A1:D5"/>
  <sheetViews>
    <sheetView workbookViewId="0">
      <selection activeCell="N3" sqref="N3"/>
    </sheetView>
  </sheetViews>
  <sheetFormatPr defaultRowHeight="14.4" x14ac:dyDescent="0.3"/>
  <cols>
    <col min="1" max="1" width="12.21875" customWidth="1"/>
    <col min="2" max="2" width="17" customWidth="1"/>
    <col min="3" max="3" width="16.21875" customWidth="1"/>
    <col min="4" max="4" width="22.88671875" customWidth="1"/>
  </cols>
  <sheetData>
    <row r="1" spans="1:4" ht="21" x14ac:dyDescent="0.4">
      <c r="A1" s="5" t="s">
        <v>21</v>
      </c>
      <c r="B1" s="5" t="s">
        <v>17</v>
      </c>
      <c r="C1" s="5" t="s">
        <v>18</v>
      </c>
      <c r="D1" s="5" t="s">
        <v>22</v>
      </c>
    </row>
    <row r="2" spans="1:4" ht="21" x14ac:dyDescent="0.4">
      <c r="A2" s="4" t="s">
        <v>5</v>
      </c>
      <c r="B2" s="4">
        <v>2500</v>
      </c>
      <c r="C2" s="4">
        <v>304</v>
      </c>
      <c r="D2" s="4">
        <v>68</v>
      </c>
    </row>
    <row r="3" spans="1:4" ht="21" x14ac:dyDescent="0.4">
      <c r="A3" s="4" t="s">
        <v>6</v>
      </c>
      <c r="B3" s="4">
        <v>2850</v>
      </c>
      <c r="C3" s="4">
        <v>366</v>
      </c>
      <c r="D3" s="4">
        <v>90</v>
      </c>
    </row>
    <row r="4" spans="1:4" ht="21" x14ac:dyDescent="0.4">
      <c r="A4" s="4" t="s">
        <v>7</v>
      </c>
      <c r="B4" s="4">
        <v>3250</v>
      </c>
      <c r="C4" s="4">
        <v>438</v>
      </c>
      <c r="D4" s="4">
        <v>111</v>
      </c>
    </row>
    <row r="5" spans="1:4" ht="21" x14ac:dyDescent="0.4">
      <c r="A5" s="4" t="s">
        <v>8</v>
      </c>
      <c r="B5" s="4">
        <v>3300</v>
      </c>
      <c r="C5" s="4">
        <v>420</v>
      </c>
      <c r="D5" s="4">
        <v>110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EF742-AB99-4A43-813F-AAFE12CB5795}">
  <dimension ref="A1:E6"/>
  <sheetViews>
    <sheetView workbookViewId="0">
      <selection activeCell="A2" sqref="A2:B4"/>
    </sheetView>
  </sheetViews>
  <sheetFormatPr defaultRowHeight="14.4" x14ac:dyDescent="0.3"/>
  <cols>
    <col min="1" max="1" width="17.5546875" customWidth="1"/>
    <col min="2" max="2" width="16.44140625" customWidth="1"/>
    <col min="4" max="4" width="33.77734375" customWidth="1"/>
    <col min="5" max="5" width="11" customWidth="1"/>
  </cols>
  <sheetData>
    <row r="1" spans="1:5" ht="21" x14ac:dyDescent="0.4">
      <c r="A1" s="3" t="s">
        <v>23</v>
      </c>
      <c r="B1" s="3" t="s">
        <v>24</v>
      </c>
      <c r="D1" s="5" t="s">
        <v>25</v>
      </c>
      <c r="E1" s="5" t="s">
        <v>26</v>
      </c>
    </row>
    <row r="2" spans="1:5" ht="21" x14ac:dyDescent="0.4">
      <c r="A2" s="4" t="s">
        <v>2</v>
      </c>
      <c r="B2" s="4">
        <v>11900</v>
      </c>
      <c r="D2" s="2" t="s">
        <v>12</v>
      </c>
      <c r="E2" s="7">
        <v>0.128</v>
      </c>
    </row>
    <row r="3" spans="1:5" ht="21" x14ac:dyDescent="0.4">
      <c r="A3" s="4" t="s">
        <v>3</v>
      </c>
      <c r="B3" s="4">
        <v>1528</v>
      </c>
      <c r="D3" s="2" t="s">
        <v>13</v>
      </c>
      <c r="E3" s="8">
        <v>0.248</v>
      </c>
    </row>
    <row r="4" spans="1:5" ht="21" x14ac:dyDescent="0.4">
      <c r="A4" s="4" t="s">
        <v>4</v>
      </c>
      <c r="B4" s="4">
        <v>379</v>
      </c>
      <c r="D4" s="2" t="s">
        <v>14</v>
      </c>
      <c r="E4" s="8">
        <v>3.1899999999999998E-2</v>
      </c>
    </row>
    <row r="5" spans="1:5" ht="18" x14ac:dyDescent="0.35">
      <c r="D5" s="2" t="s">
        <v>27</v>
      </c>
      <c r="E5" s="2">
        <v>10372</v>
      </c>
    </row>
    <row r="6" spans="1:5" ht="18" x14ac:dyDescent="0.35">
      <c r="D6" s="2" t="s">
        <v>16</v>
      </c>
      <c r="E6" s="2">
        <v>1149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A548E-A25F-4451-B1E8-3E45B5A1A8E3}">
  <sheetPr>
    <pageSetUpPr fitToPage="1"/>
  </sheetPr>
  <dimension ref="A1:T41"/>
  <sheetViews>
    <sheetView tabSelected="1" workbookViewId="0">
      <selection activeCell="J3" sqref="J3"/>
    </sheetView>
  </sheetViews>
  <sheetFormatPr defaultRowHeight="14.4" x14ac:dyDescent="0.3"/>
  <cols>
    <col min="1" max="1" width="20.33203125" customWidth="1"/>
    <col min="2" max="2" width="14.109375" customWidth="1"/>
    <col min="7" max="7" width="20.6640625" customWidth="1"/>
    <col min="8" max="8" width="17" customWidth="1"/>
  </cols>
  <sheetData>
    <row r="1" spans="1:20" ht="23.4" x14ac:dyDescent="0.45">
      <c r="A1" s="10" t="s">
        <v>28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</row>
    <row r="2" spans="1:20" ht="15" thickBot="1" x14ac:dyDescent="0.35"/>
    <row r="3" spans="1:20" ht="21" x14ac:dyDescent="0.4">
      <c r="G3" s="12" t="s">
        <v>17</v>
      </c>
      <c r="H3" s="13">
        <v>11900</v>
      </c>
    </row>
    <row r="4" spans="1:20" ht="21" x14ac:dyDescent="0.4">
      <c r="G4" s="14" t="s">
        <v>18</v>
      </c>
      <c r="H4" s="15">
        <v>1528</v>
      </c>
    </row>
    <row r="5" spans="1:20" ht="21" x14ac:dyDescent="0.4">
      <c r="G5" s="14" t="s">
        <v>22</v>
      </c>
      <c r="H5" s="15">
        <v>379</v>
      </c>
    </row>
    <row r="6" spans="1:20" ht="21" x14ac:dyDescent="0.4">
      <c r="G6" s="14" t="s">
        <v>29</v>
      </c>
      <c r="H6" s="16">
        <v>0.12839999999999999</v>
      </c>
    </row>
    <row r="7" spans="1:20" ht="21.6" thickBot="1" x14ac:dyDescent="0.45">
      <c r="G7" s="17" t="s">
        <v>30</v>
      </c>
      <c r="H7" s="18">
        <v>0.248</v>
      </c>
    </row>
    <row r="25" spans="1:18" ht="21" x14ac:dyDescent="0.4">
      <c r="A25" s="11" t="s">
        <v>31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</row>
    <row r="27" spans="1:18" ht="18" x14ac:dyDescent="0.35">
      <c r="B27" s="9" t="s">
        <v>32</v>
      </c>
    </row>
    <row r="29" spans="1:18" ht="18" x14ac:dyDescent="0.35">
      <c r="B29" s="2" t="s">
        <v>33</v>
      </c>
      <c r="C29" s="2"/>
      <c r="D29" s="2"/>
      <c r="E29" s="2"/>
      <c r="F29" s="2"/>
      <c r="G29" s="2"/>
      <c r="H29" s="2"/>
    </row>
    <row r="30" spans="1:18" ht="18" x14ac:dyDescent="0.35">
      <c r="B30" s="2" t="s">
        <v>34</v>
      </c>
      <c r="C30" s="2"/>
      <c r="D30" s="2"/>
      <c r="E30" s="2"/>
      <c r="F30" s="2"/>
      <c r="G30" s="2"/>
      <c r="H30" s="2"/>
    </row>
    <row r="31" spans="1:18" ht="18" x14ac:dyDescent="0.35">
      <c r="B31" s="2" t="s">
        <v>35</v>
      </c>
      <c r="C31" s="2"/>
      <c r="D31" s="2"/>
      <c r="E31" s="2"/>
      <c r="F31" s="2"/>
      <c r="G31" s="2"/>
      <c r="H31" s="2"/>
    </row>
    <row r="32" spans="1:18" ht="18" x14ac:dyDescent="0.35">
      <c r="B32" s="2" t="s">
        <v>36</v>
      </c>
      <c r="C32" s="2"/>
      <c r="D32" s="2"/>
      <c r="E32" s="2"/>
      <c r="F32" s="2"/>
      <c r="G32" s="2"/>
      <c r="H32" s="2"/>
    </row>
    <row r="33" spans="2:8" ht="18" x14ac:dyDescent="0.35">
      <c r="B33" s="2" t="s">
        <v>37</v>
      </c>
      <c r="C33" s="2"/>
      <c r="D33" s="2"/>
      <c r="E33" s="2"/>
      <c r="F33" s="2"/>
      <c r="G33" s="2"/>
      <c r="H33" s="2"/>
    </row>
    <row r="34" spans="2:8" ht="18" x14ac:dyDescent="0.35">
      <c r="B34" s="2"/>
      <c r="C34" s="2"/>
      <c r="D34" s="2"/>
      <c r="E34" s="2"/>
      <c r="F34" s="2"/>
      <c r="G34" s="2"/>
      <c r="H34" s="2"/>
    </row>
    <row r="36" spans="2:8" ht="18" x14ac:dyDescent="0.35">
      <c r="B36" s="9" t="s">
        <v>38</v>
      </c>
    </row>
    <row r="38" spans="2:8" ht="18" x14ac:dyDescent="0.35">
      <c r="B38" s="2" t="s">
        <v>39</v>
      </c>
      <c r="C38" s="2"/>
      <c r="D38" s="2"/>
      <c r="E38" s="2"/>
      <c r="F38" s="2"/>
      <c r="G38" s="2"/>
      <c r="H38" s="2"/>
    </row>
    <row r="39" spans="2:8" ht="18" x14ac:dyDescent="0.35">
      <c r="B39" s="2" t="s">
        <v>40</v>
      </c>
      <c r="C39" s="2"/>
      <c r="D39" s="2"/>
      <c r="E39" s="2"/>
      <c r="F39" s="2"/>
      <c r="G39" s="2"/>
      <c r="H39" s="2"/>
    </row>
    <row r="40" spans="2:8" ht="18" x14ac:dyDescent="0.35">
      <c r="B40" s="2" t="s">
        <v>41</v>
      </c>
      <c r="C40" s="2"/>
      <c r="D40" s="2"/>
      <c r="E40" s="2"/>
      <c r="F40" s="2"/>
      <c r="G40" s="2"/>
      <c r="H40" s="2"/>
    </row>
    <row r="41" spans="2:8" ht="18" x14ac:dyDescent="0.35">
      <c r="B41" s="2" t="s">
        <v>42</v>
      </c>
      <c r="C41" s="2"/>
      <c r="D41" s="2"/>
      <c r="E41" s="2"/>
      <c r="F41" s="2"/>
      <c r="G41" s="2"/>
      <c r="H41" s="2"/>
    </row>
  </sheetData>
  <mergeCells count="2">
    <mergeCell ref="A1:T1"/>
    <mergeCell ref="A25:R25"/>
  </mergeCells>
  <pageMargins left="0.7" right="0.7" top="0.75" bottom="0.75" header="0.3" footer="0.3"/>
  <pageSetup paperSize="9" scale="61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 sheet</vt:lpstr>
      <vt:lpstr>Channel Analysis</vt:lpstr>
      <vt:lpstr>Monthly Analysis</vt:lpstr>
      <vt:lpstr>Funnel Summary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V</dc:creator>
  <cp:lastModifiedBy>Sanjana V</cp:lastModifiedBy>
  <cp:lastPrinted>2026-09-27T10:35:13Z</cp:lastPrinted>
  <dcterms:created xsi:type="dcterms:W3CDTF">2026-09-27T09:25:08Z</dcterms:created>
  <dcterms:modified xsi:type="dcterms:W3CDTF">2026-09-27T10:35:58Z</dcterms:modified>
</cp:coreProperties>
</file>